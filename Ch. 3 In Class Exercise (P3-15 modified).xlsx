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mnscu-my.sharepoint.com/personal/fm7216vz_minnstate_edu/Documents/1) 2023 Fall/UMN/ACCT 3001/Ch. 3 - Job-Order Costing_/"/>
    </mc:Choice>
  </mc:AlternateContent>
  <xr:revisionPtr revIDLastSave="67" documentId="8_{3D4647C5-192F-4736-9C12-546EAE0207B6}" xr6:coauthVersionLast="47" xr6:coauthVersionMax="47" xr10:uidLastSave="{17748949-16A8-4B9B-A434-E1445F8D0984}"/>
  <bookViews>
    <workbookView xWindow="-110" yWindow="-110" windowWidth="19420" windowHeight="10420" xr2:uid="{00000000-000D-0000-FFFF-FFFF00000000}"/>
  </bookViews>
  <sheets>
    <sheet name="Instrcutions" sheetId="2" r:id="rId1"/>
    <sheet name="General Journal" sheetId="1" r:id="rId2"/>
    <sheet name="General Ledger" sheetId="13" r:id="rId3"/>
    <sheet name="Applied MOH" sheetId="14" r:id="rId4"/>
    <sheet name="Schedule Cost of Goods Manufac." sheetId="15" r:id="rId5"/>
    <sheet name="Schedule of Cost of Goods Sold" sheetId="16" r:id="rId6"/>
    <sheet name="Gross Margin" sheetId="17" r:id="rId7"/>
  </sheets>
  <definedNames>
    <definedName name="_xlnm.Print_Area" localSheetId="2">'General Ledger'!$B$1:$W$46</definedName>
    <definedName name="_xlnm.Print_Area" localSheetId="0">Instrcutions!$A$1:$J$45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5" i="13" l="1"/>
  <c r="G38" i="13"/>
  <c r="V26" i="13"/>
  <c r="U26" i="13"/>
  <c r="Q26" i="13"/>
  <c r="P26" i="13"/>
  <c r="Q15" i="13"/>
  <c r="P15" i="13"/>
  <c r="D15" i="13" l="1"/>
  <c r="C15" i="13"/>
  <c r="C38" i="13"/>
  <c r="D38" i="13"/>
  <c r="D26" i="13"/>
  <c r="H15" i="13"/>
  <c r="C26" i="13"/>
  <c r="L15" i="13"/>
  <c r="H38" i="13"/>
  <c r="V15" i="13" l="1"/>
  <c r="U15" i="13"/>
  <c r="G15" i="13"/>
</calcChain>
</file>

<file path=xl/sharedStrings.xml><?xml version="1.0" encoding="utf-8"?>
<sst xmlns="http://schemas.openxmlformats.org/spreadsheetml/2006/main" count="159" uniqueCount="132">
  <si>
    <t xml:space="preserve">Account </t>
  </si>
  <si>
    <t>Debit</t>
  </si>
  <si>
    <t>Credit</t>
  </si>
  <si>
    <t>Accounts Receivable</t>
  </si>
  <si>
    <t>General Journal</t>
  </si>
  <si>
    <t>Accumulated Depreciation</t>
  </si>
  <si>
    <t>General Ledger</t>
  </si>
  <si>
    <t>Assets</t>
  </si>
  <si>
    <t>=</t>
  </si>
  <si>
    <t>Liabilities</t>
  </si>
  <si>
    <t>+</t>
  </si>
  <si>
    <t>Equity</t>
  </si>
  <si>
    <t xml:space="preserve"> </t>
  </si>
  <si>
    <t>Trans</t>
  </si>
  <si>
    <t>Instrucitons</t>
  </si>
  <si>
    <t>a.</t>
  </si>
  <si>
    <t>b.</t>
  </si>
  <si>
    <t>c.</t>
  </si>
  <si>
    <t xml:space="preserve">Froya Fabrikker A/S of Bergen, Norway, is a small company that manufactures specialty heavy </t>
  </si>
  <si>
    <t xml:space="preserve">equipment which is used in the North Sea oil fields. The company uses a job-order costing system that </t>
  </si>
  <si>
    <t xml:space="preserve">applies manufacturing overhead costs to jobs on the basis of direct-labor hours. Its predetermined </t>
  </si>
  <si>
    <t xml:space="preserve">overhead rate was based on a cost formula that estimates $360,000 of manufacturing overhead for an </t>
  </si>
  <si>
    <t xml:space="preserve">estimated allocation base of 900 direct-labor hours. The following transactions took place during the </t>
  </si>
  <si>
    <t>year:</t>
  </si>
  <si>
    <t>d.</t>
  </si>
  <si>
    <t>Accrued salary and wage costs:</t>
  </si>
  <si>
    <t>Direct-labor hours (975 hours)</t>
  </si>
  <si>
    <t xml:space="preserve">Indirect labor </t>
  </si>
  <si>
    <t>c</t>
  </si>
  <si>
    <t>e.</t>
  </si>
  <si>
    <t>Raw materials purchased on account, $200,000.</t>
  </si>
  <si>
    <t>f.</t>
  </si>
  <si>
    <t>Depreciation was recorded for the year on factory equipment, $76,000</t>
  </si>
  <si>
    <t>g.</t>
  </si>
  <si>
    <t>Manufacturing overhead cost was applied to jobs, $ ? .</t>
  </si>
  <si>
    <t>h.</t>
  </si>
  <si>
    <t>Required:</t>
  </si>
  <si>
    <t>Maintenance</t>
  </si>
  <si>
    <t>Utilities</t>
  </si>
  <si>
    <t>Other general factory costs incurred for the period include the following (purchased on account):</t>
  </si>
  <si>
    <t>Rents</t>
  </si>
  <si>
    <t>Raw materials used in production, $185,000 (direct) and $20,000 (indirect).</t>
  </si>
  <si>
    <t>Raw Materials</t>
  </si>
  <si>
    <t>Beg.</t>
  </si>
  <si>
    <t>Work in Process</t>
  </si>
  <si>
    <t>Finished Goods</t>
  </si>
  <si>
    <t>Manufacturing Overhead</t>
  </si>
  <si>
    <t>Accounts Payable</t>
  </si>
  <si>
    <t>Salaries &amp; Wages Payable</t>
  </si>
  <si>
    <t>Cost of Goods Sold</t>
  </si>
  <si>
    <t>Sales Revenue</t>
  </si>
  <si>
    <t>Froya Fabrikker A/S</t>
  </si>
  <si>
    <t>a</t>
  </si>
  <si>
    <t>b</t>
  </si>
  <si>
    <t>The balances in the inventory accounts at the beginning of the year were:</t>
  </si>
  <si>
    <t>11 units of equipment were manufactured during the period, costing an average $70,000 per unit.</t>
  </si>
  <si>
    <t>12 units of equipment were sold at a price of $100,000 per unit, and a cost of $66,666.67 per unit</t>
  </si>
  <si>
    <t>1)</t>
  </si>
  <si>
    <t>2)</t>
  </si>
  <si>
    <t>Prepare the journal entries to record the preceding transactions.</t>
  </si>
  <si>
    <t xml:space="preserve">Post the entries to the T-Accounts. (Don't forget to enter the beginning inventory balances above). </t>
  </si>
  <si>
    <t xml:space="preserve">Determine the endings balances in the inventory accounts and in the Manufacturing Overhead </t>
  </si>
  <si>
    <t xml:space="preserve">account. </t>
  </si>
  <si>
    <t>3)</t>
  </si>
  <si>
    <t>4)</t>
  </si>
  <si>
    <t>Prepare the journal entry to close the balance in Manufacturing Overhead account to cost of goods</t>
  </si>
  <si>
    <t>5)</t>
  </si>
  <si>
    <t>d</t>
  </si>
  <si>
    <t>e</t>
  </si>
  <si>
    <t>f</t>
  </si>
  <si>
    <t>Estimated Total MOH</t>
  </si>
  <si>
    <t>Estimated Total Allocation Base</t>
  </si>
  <si>
    <t>1) Calculate the predetermined overhead rate (POHR)</t>
  </si>
  <si>
    <t>POHR
(per DLH)</t>
  </si>
  <si>
    <r>
      <rPr>
        <sz val="11"/>
        <color theme="1"/>
        <rFont val="Calibri"/>
        <family val="2"/>
      </rPr>
      <t>×</t>
    </r>
  </si>
  <si>
    <t xml:space="preserve">2) Apply manufacturing overhead during the period </t>
  </si>
  <si>
    <t>3) Compute (overapplied) / underapplied manufacturing overhead</t>
  </si>
  <si>
    <t>DLH</t>
  </si>
  <si>
    <t>-</t>
  </si>
  <si>
    <t>Applied MOH</t>
  </si>
  <si>
    <t xml:space="preserve">Actual MOH </t>
  </si>
  <si>
    <t>Costs</t>
  </si>
  <si>
    <t>(overapplied)/</t>
  </si>
  <si>
    <t xml:space="preserve">underapplied </t>
  </si>
  <si>
    <t>MOH Costs</t>
  </si>
  <si>
    <t xml:space="preserve">Applied MOH </t>
  </si>
  <si>
    <t>costs</t>
  </si>
  <si>
    <t>Acutal</t>
  </si>
  <si>
    <t xml:space="preserve">Allocation </t>
  </si>
  <si>
    <t>Bas</t>
  </si>
  <si>
    <t>(per DLH)</t>
  </si>
  <si>
    <t>POHR</t>
  </si>
  <si>
    <t>g</t>
  </si>
  <si>
    <t>h(1)</t>
  </si>
  <si>
    <t>h(2)</t>
  </si>
  <si>
    <t>Direct Materials:</t>
  </si>
  <si>
    <t>Beginning raw materials inventory</t>
  </si>
  <si>
    <t>Beginning work in process inventory</t>
  </si>
  <si>
    <t>Add: Purchases fo raw materials</t>
  </si>
  <si>
    <t>Total raw materials available</t>
  </si>
  <si>
    <t>Deduct: Ending raw materials inv.</t>
  </si>
  <si>
    <t>Raw materials used in production</t>
  </si>
  <si>
    <t>Deduct: Indirect materials used in prodcution</t>
  </si>
  <si>
    <t>Direct materials</t>
  </si>
  <si>
    <t>Direct Labor</t>
  </si>
  <si>
    <t>Manufacturing overhead applied</t>
  </si>
  <si>
    <t>Total manufacturing costs added to production</t>
  </si>
  <si>
    <t>Total manufacturing costs accounted for</t>
  </si>
  <si>
    <t>Deduct: ending work in process inventory</t>
  </si>
  <si>
    <t>Cost of goods manufactured</t>
  </si>
  <si>
    <t>Schedule of Cost of Goods Manufactured</t>
  </si>
  <si>
    <t>Year ended 12/31/XX</t>
  </si>
  <si>
    <t>Schedule of Cost of Goods Sold</t>
  </si>
  <si>
    <t>Beginning finished goods inventory</t>
  </si>
  <si>
    <t>Add: Cost of goods manufactured</t>
  </si>
  <si>
    <t>Cost of goods available for sale</t>
  </si>
  <si>
    <t xml:space="preserve">Deduct: Ending finished goods inventory </t>
  </si>
  <si>
    <t>Unadjusted cost of goods sold</t>
  </si>
  <si>
    <t>Deduct: Overapplied manufacturing overhead</t>
  </si>
  <si>
    <t>Adjusted cost of goods sold</t>
  </si>
  <si>
    <t>Prepare a schedule of cost of goods sold (unadjusted).</t>
  </si>
  <si>
    <t>sold. Make the necessary adjustments fo the schedule of cost of goods sold.</t>
  </si>
  <si>
    <t>6)</t>
  </si>
  <si>
    <t>Calculate the company's gross margin for the period.</t>
  </si>
  <si>
    <t>Prepare a schedule of cost of goods manufactured.</t>
  </si>
  <si>
    <t>Sales</t>
  </si>
  <si>
    <t>Cost of goods sold</t>
  </si>
  <si>
    <t>Gross margin</t>
  </si>
  <si>
    <t>Unadjusted</t>
  </si>
  <si>
    <t>Adjusted</t>
  </si>
  <si>
    <t>Gross Margin Analysis</t>
  </si>
  <si>
    <t>Overapplied 
MOH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</si>
</sst>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Dashed">
        <color rgb="FFFF0000"/>
      </left>
      <right/>
      <top style="mediumDashed">
        <color rgb="FFFF0000"/>
      </top>
      <bottom/>
      <diagonal/>
    </border>
    <border>
      <left/>
      <right/>
      <top style="mediumDashed">
        <color rgb="FFFF0000"/>
      </top>
      <bottom/>
      <diagonal/>
    </border>
    <border>
      <left/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/>
      <top/>
      <bottom/>
      <diagonal/>
    </border>
    <border>
      <left/>
      <right style="mediumDashed">
        <color rgb="FFFF0000"/>
      </right>
      <top/>
      <bottom/>
      <diagonal/>
    </border>
    <border>
      <left style="mediumDashed">
        <color rgb="FFFF0000"/>
      </left>
      <right/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mediumDashed">
        <color rgb="FFFF0000"/>
      </right>
      <top/>
      <bottom style="mediumDashed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0" fillId="2" borderId="1" xfId="0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0" fillId="2" borderId="5" xfId="0" applyFill="1" applyBorder="1" applyAlignment="1">
      <alignment horizontal="centerContinuous"/>
    </xf>
    <xf numFmtId="0" fontId="0" fillId="3" borderId="0" xfId="0" applyFont="1" applyFill="1" applyAlignment="1"/>
    <xf numFmtId="0" fontId="0" fillId="3" borderId="0" xfId="0" applyFont="1" applyFill="1"/>
    <xf numFmtId="0" fontId="0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0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center"/>
    </xf>
    <xf numFmtId="0" fontId="0" fillId="3" borderId="0" xfId="0" applyFont="1" applyFill="1" applyAlignment="1">
      <alignment horizontal="right" vertical="top"/>
    </xf>
    <xf numFmtId="165" fontId="0" fillId="3" borderId="0" xfId="4" applyNumberFormat="1" applyFont="1" applyFill="1"/>
    <xf numFmtId="164" fontId="0" fillId="3" borderId="0" xfId="1" applyNumberFormat="1" applyFont="1" applyFill="1"/>
    <xf numFmtId="0" fontId="3" fillId="3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centerContinuous"/>
    </xf>
    <xf numFmtId="0" fontId="2" fillId="2" borderId="4" xfId="0" applyFont="1" applyFill="1" applyBorder="1" applyAlignment="1">
      <alignment horizontal="centerContinuous"/>
    </xf>
    <xf numFmtId="0" fontId="3" fillId="3" borderId="0" xfId="0" applyFont="1" applyFill="1"/>
    <xf numFmtId="0" fontId="0" fillId="3" borderId="0" xfId="0" applyFill="1"/>
    <xf numFmtId="0" fontId="0" fillId="3" borderId="0" xfId="0" quotePrefix="1" applyFill="1" applyAlignment="1">
      <alignment horizontal="centerContinuous"/>
    </xf>
    <xf numFmtId="0" fontId="0" fillId="3" borderId="2" xfId="0" applyFill="1" applyBorder="1" applyAlignment="1">
      <alignment horizontal="centerContinuous"/>
    </xf>
    <xf numFmtId="0" fontId="0" fillId="3" borderId="0" xfId="0" applyFill="1" applyBorder="1" applyAlignment="1">
      <alignment horizontal="centerContinuous"/>
    </xf>
    <xf numFmtId="164" fontId="0" fillId="3" borderId="7" xfId="1" applyNumberFormat="1" applyFont="1" applyFill="1" applyBorder="1"/>
    <xf numFmtId="0" fontId="0" fillId="3" borderId="0" xfId="0" applyFill="1" applyBorder="1"/>
    <xf numFmtId="164" fontId="0" fillId="3" borderId="8" xfId="1" applyNumberFormat="1" applyFont="1" applyFill="1" applyBorder="1"/>
    <xf numFmtId="164" fontId="0" fillId="3" borderId="3" xfId="1" applyNumberFormat="1" applyFont="1" applyFill="1" applyBorder="1"/>
    <xf numFmtId="164" fontId="0" fillId="3" borderId="9" xfId="1" applyNumberFormat="1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164" fontId="0" fillId="3" borderId="0" xfId="1" applyNumberFormat="1" applyFont="1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0" xfId="0" applyFont="1" applyFill="1" applyAlignment="1">
      <alignment vertical="top"/>
    </xf>
    <xf numFmtId="0" fontId="0" fillId="3" borderId="0" xfId="0" applyFont="1" applyFill="1" applyAlignment="1">
      <alignment horizontal="right"/>
    </xf>
    <xf numFmtId="0" fontId="0" fillId="3" borderId="13" xfId="0" applyFill="1" applyBorder="1" applyAlignment="1">
      <alignment horizontal="right"/>
    </xf>
    <xf numFmtId="0" fontId="0" fillId="3" borderId="0" xfId="0" applyFill="1" applyBorder="1" applyAlignment="1">
      <alignment horizontal="right"/>
    </xf>
    <xf numFmtId="0" fontId="0" fillId="3" borderId="0" xfId="0" applyFill="1" applyBorder="1" applyAlignment="1">
      <alignment horizontal="left"/>
    </xf>
    <xf numFmtId="6" fontId="0" fillId="3" borderId="1" xfId="1" applyNumberFormat="1" applyFont="1" applyFill="1" applyBorder="1"/>
    <xf numFmtId="164" fontId="0" fillId="3" borderId="1" xfId="1" applyNumberFormat="1" applyFont="1" applyFill="1" applyBorder="1"/>
    <xf numFmtId="6" fontId="0" fillId="3" borderId="0" xfId="1" quotePrefix="1" applyNumberFormat="1" applyFont="1" applyFill="1" applyAlignment="1">
      <alignment horizontal="center" vertical="center" wrapText="1"/>
    </xf>
    <xf numFmtId="0" fontId="0" fillId="3" borderId="2" xfId="0" applyFill="1" applyBorder="1" applyAlignment="1">
      <alignment horizontal="right"/>
    </xf>
    <xf numFmtId="0" fontId="0" fillId="3" borderId="0" xfId="0" applyFill="1" applyAlignment="1">
      <alignment horizontal="right"/>
    </xf>
    <xf numFmtId="6" fontId="0" fillId="3" borderId="0" xfId="1" quotePrefix="1" applyNumberFormat="1" applyFont="1" applyFill="1" applyAlignment="1">
      <alignment vertical="center" wrapText="1"/>
    </xf>
    <xf numFmtId="6" fontId="0" fillId="3" borderId="0" xfId="1" applyNumberFormat="1" applyFont="1" applyFill="1" applyAlignment="1">
      <alignment vertic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3" borderId="0" xfId="0" quotePrefix="1" applyFill="1" applyAlignment="1">
      <alignment vertical="center"/>
    </xf>
    <xf numFmtId="6" fontId="0" fillId="3" borderId="1" xfId="1" quotePrefix="1" applyNumberFormat="1" applyFont="1" applyFill="1" applyBorder="1" applyAlignment="1">
      <alignment vertical="center"/>
    </xf>
    <xf numFmtId="164" fontId="0" fillId="3" borderId="1" xfId="1" quotePrefix="1" applyNumberFormat="1" applyFont="1" applyFill="1" applyBorder="1" applyAlignment="1">
      <alignment vertical="center"/>
    </xf>
    <xf numFmtId="0" fontId="0" fillId="3" borderId="0" xfId="0" applyFill="1" applyAlignment="1">
      <alignment horizontal="left"/>
    </xf>
    <xf numFmtId="0" fontId="0" fillId="3" borderId="0" xfId="0" quotePrefix="1" applyFill="1" applyAlignment="1">
      <alignment horizontal="center"/>
    </xf>
    <xf numFmtId="0" fontId="0" fillId="3" borderId="14" xfId="0" applyFill="1" applyBorder="1" applyAlignment="1">
      <alignment horizontal="left"/>
    </xf>
    <xf numFmtId="0" fontId="0" fillId="3" borderId="0" xfId="0" applyFill="1" applyAlignment="1">
      <alignment horizontal="left" indent="2"/>
    </xf>
    <xf numFmtId="164" fontId="0" fillId="3" borderId="0" xfId="0" applyNumberFormat="1" applyFill="1"/>
    <xf numFmtId="0" fontId="2" fillId="2" borderId="7" xfId="0" applyFont="1" applyFill="1" applyBorder="1" applyAlignment="1">
      <alignment horizontal="centerContinuous"/>
    </xf>
    <xf numFmtId="164" fontId="0" fillId="2" borderId="21" xfId="1" applyNumberFormat="1" applyFont="1" applyFill="1" applyBorder="1" applyAlignment="1">
      <alignment horizontal="centerContinuous"/>
    </xf>
    <xf numFmtId="0" fontId="0" fillId="2" borderId="21" xfId="0" applyFill="1" applyBorder="1" applyAlignment="1">
      <alignment horizontal="centerContinuous"/>
    </xf>
    <xf numFmtId="164" fontId="0" fillId="2" borderId="22" xfId="1" applyNumberFormat="1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Continuous"/>
    </xf>
    <xf numFmtId="0" fontId="2" fillId="2" borderId="0" xfId="0" applyFont="1" applyFill="1" applyBorder="1" applyAlignment="1">
      <alignment horizontal="centerContinuous"/>
    </xf>
    <xf numFmtId="0" fontId="2" fillId="2" borderId="18" xfId="0" applyFont="1" applyFill="1" applyBorder="1" applyAlignment="1">
      <alignment horizontal="centerContinuous"/>
    </xf>
    <xf numFmtId="0" fontId="2" fillId="2" borderId="23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2" fillId="2" borderId="24" xfId="0" applyFont="1" applyFill="1" applyBorder="1" applyAlignment="1">
      <alignment horizontal="centerContinuous"/>
    </xf>
    <xf numFmtId="164" fontId="0" fillId="3" borderId="25" xfId="1" applyNumberFormat="1" applyFont="1" applyFill="1" applyBorder="1"/>
    <xf numFmtId="164" fontId="0" fillId="3" borderId="26" xfId="1" applyNumberFormat="1" applyFont="1" applyFill="1" applyBorder="1"/>
    <xf numFmtId="164" fontId="0" fillId="3" borderId="25" xfId="0" applyNumberFormat="1" applyFill="1" applyBorder="1"/>
    <xf numFmtId="164" fontId="0" fillId="3" borderId="27" xfId="1" applyNumberFormat="1" applyFont="1" applyFill="1" applyBorder="1"/>
    <xf numFmtId="164" fontId="0" fillId="3" borderId="28" xfId="1" applyNumberFormat="1" applyFont="1" applyFill="1" applyBorder="1"/>
    <xf numFmtId="16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164" fontId="1" fillId="3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Continuous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 wrapText="1"/>
    </xf>
    <xf numFmtId="0" fontId="0" fillId="3" borderId="0" xfId="0" quotePrefix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6" fontId="0" fillId="3" borderId="19" xfId="1" quotePrefix="1" applyNumberFormat="1" applyFont="1" applyFill="1" applyBorder="1" applyAlignment="1">
      <alignment horizontal="center" vertical="center"/>
    </xf>
    <xf numFmtId="6" fontId="0" fillId="3" borderId="20" xfId="1" applyNumberFormat="1" applyFont="1" applyFill="1" applyBorder="1" applyAlignment="1">
      <alignment horizontal="center" vertical="center"/>
    </xf>
    <xf numFmtId="6" fontId="0" fillId="3" borderId="0" xfId="1" quotePrefix="1" applyNumberFormat="1" applyFont="1" applyFill="1" applyAlignment="1">
      <alignment horizontal="center" vertical="center" wrapText="1"/>
    </xf>
    <xf numFmtId="6" fontId="0" fillId="3" borderId="0" xfId="1" applyNumberFormat="1" applyFont="1" applyFill="1" applyAlignment="1">
      <alignment horizontal="center" vertical="center"/>
    </xf>
    <xf numFmtId="0" fontId="0" fillId="3" borderId="2" xfId="0" applyFill="1" applyBorder="1"/>
  </cellXfs>
  <cellStyles count="5">
    <cellStyle name="Comma" xfId="1" builtinId="3"/>
    <cellStyle name="Currency" xfId="4" builtinId="4"/>
    <cellStyle name="Followed Hyperlink" xfId="3" builtinId="9" hidden="1"/>
    <cellStyle name="Hyperlink" xfId="2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704850</xdr:colOff>
      <xdr:row>5</xdr:row>
      <xdr:rowOff>158750</xdr:rowOff>
    </xdr:from>
    <xdr:to>
      <xdr:col>5</xdr:col>
      <xdr:colOff>482600</xdr:colOff>
      <xdr:row>10</xdr:row>
      <xdr:rowOff>133350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AE5827C-F41E-481D-9667-6DA401868D20}"/>
            </a:ext>
          </a:extLst>
        </xdr:cNvPr>
        <xdr:cNvCxnSpPr/>
      </xdr:nvCxnSpPr>
      <xdr:spPr>
        <a:xfrm flipH="1">
          <a:off x="2800350" y="1079500"/>
          <a:ext cx="1187450" cy="895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730250</xdr:colOff>
      <xdr:row>12</xdr:row>
      <xdr:rowOff>139700</xdr:rowOff>
    </xdr:from>
    <xdr:to>
      <xdr:col>8</xdr:col>
      <xdr:colOff>44450</xdr:colOff>
      <xdr:row>18</xdr:row>
      <xdr:rowOff>165100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2115CBF-E047-435F-89A8-78B4BC191651}"/>
            </a:ext>
          </a:extLst>
        </xdr:cNvPr>
        <xdr:cNvCxnSpPr/>
      </xdr:nvCxnSpPr>
      <xdr:spPr>
        <a:xfrm flipH="1">
          <a:off x="4235450" y="2349500"/>
          <a:ext cx="850900" cy="1130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136" zoomScaleNormal="136" zoomScalePageLayoutView="145" workbookViewId="0"/>
  </sheetViews>
  <sheetFormatPr defaultColWidth="8.81640625" defaultRowHeight="14.5" x14ac:dyDescent="0.35"/>
  <cols>
    <col min="1" max="1" width="6.453125" style="4" customWidth="1"/>
    <col min="2" max="5" width="8.81640625" style="4"/>
    <col min="6" max="6" width="12.08984375" style="5" bestFit="1" customWidth="1"/>
    <col min="7" max="16384" width="8.81640625" style="5"/>
  </cols>
  <sheetData>
    <row r="1" spans="1:6" x14ac:dyDescent="0.35">
      <c r="A1" s="9" t="s">
        <v>14</v>
      </c>
    </row>
    <row r="2" spans="1:6" x14ac:dyDescent="0.35">
      <c r="A2" s="6"/>
    </row>
    <row r="3" spans="1:6" x14ac:dyDescent="0.35">
      <c r="A3" s="7" t="s">
        <v>18</v>
      </c>
    </row>
    <row r="4" spans="1:6" x14ac:dyDescent="0.35">
      <c r="A4" s="8" t="s">
        <v>19</v>
      </c>
    </row>
    <row r="5" spans="1:6" x14ac:dyDescent="0.35">
      <c r="A5" s="8" t="s">
        <v>20</v>
      </c>
      <c r="B5" s="8"/>
    </row>
    <row r="6" spans="1:6" x14ac:dyDescent="0.35">
      <c r="A6" s="8" t="s">
        <v>21</v>
      </c>
      <c r="B6" s="8"/>
    </row>
    <row r="7" spans="1:6" x14ac:dyDescent="0.35">
      <c r="A7" s="8" t="s">
        <v>22</v>
      </c>
      <c r="B7" s="8"/>
    </row>
    <row r="8" spans="1:6" x14ac:dyDescent="0.35">
      <c r="A8" s="8" t="s">
        <v>23</v>
      </c>
      <c r="B8" s="8"/>
    </row>
    <row r="9" spans="1:6" x14ac:dyDescent="0.35">
      <c r="A9" s="5"/>
      <c r="B9" s="5"/>
    </row>
    <row r="10" spans="1:6" x14ac:dyDescent="0.35">
      <c r="A10" s="10" t="s">
        <v>15</v>
      </c>
      <c r="B10" s="8" t="s">
        <v>30</v>
      </c>
    </row>
    <row r="11" spans="1:6" x14ac:dyDescent="0.35">
      <c r="A11" s="10" t="s">
        <v>16</v>
      </c>
      <c r="B11" s="8" t="s">
        <v>41</v>
      </c>
    </row>
    <row r="12" spans="1:6" x14ac:dyDescent="0.35">
      <c r="A12" s="10" t="s">
        <v>17</v>
      </c>
      <c r="B12" s="8" t="s">
        <v>25</v>
      </c>
    </row>
    <row r="13" spans="1:6" x14ac:dyDescent="0.35">
      <c r="A13" s="10"/>
      <c r="B13" s="8"/>
    </row>
    <row r="14" spans="1:6" x14ac:dyDescent="0.35">
      <c r="A14" s="10"/>
      <c r="B14" s="8"/>
      <c r="C14" s="4" t="s">
        <v>26</v>
      </c>
      <c r="F14" s="11">
        <v>230000</v>
      </c>
    </row>
    <row r="15" spans="1:6" x14ac:dyDescent="0.35">
      <c r="A15" s="10"/>
      <c r="B15" s="8"/>
      <c r="C15" s="4" t="s">
        <v>27</v>
      </c>
      <c r="F15" s="11">
        <v>90000</v>
      </c>
    </row>
    <row r="16" spans="1:6" x14ac:dyDescent="0.35">
      <c r="A16" s="10"/>
      <c r="B16" s="8"/>
    </row>
    <row r="17" spans="1:6" x14ac:dyDescent="0.35">
      <c r="A17" s="10" t="s">
        <v>24</v>
      </c>
      <c r="B17" s="8" t="s">
        <v>39</v>
      </c>
    </row>
    <row r="18" spans="1:6" x14ac:dyDescent="0.35">
      <c r="A18" s="10"/>
      <c r="B18" s="8"/>
    </row>
    <row r="19" spans="1:6" x14ac:dyDescent="0.35">
      <c r="A19" s="10"/>
      <c r="B19" s="8"/>
      <c r="C19" s="4" t="s">
        <v>37</v>
      </c>
      <c r="F19" s="11">
        <v>54000</v>
      </c>
    </row>
    <row r="20" spans="1:6" x14ac:dyDescent="0.35">
      <c r="A20" s="10"/>
      <c r="B20" s="8"/>
      <c r="C20" s="4" t="s">
        <v>38</v>
      </c>
      <c r="F20" s="11">
        <v>43000</v>
      </c>
    </row>
    <row r="21" spans="1:6" x14ac:dyDescent="0.35">
      <c r="A21" s="10"/>
      <c r="B21" s="8"/>
      <c r="C21" s="4" t="s">
        <v>40</v>
      </c>
      <c r="F21" s="11">
        <v>102000</v>
      </c>
    </row>
    <row r="22" spans="1:6" x14ac:dyDescent="0.35">
      <c r="A22" s="5"/>
      <c r="B22" s="5"/>
      <c r="C22" s="5"/>
      <c r="D22" s="5"/>
      <c r="E22" s="5"/>
    </row>
    <row r="23" spans="1:6" x14ac:dyDescent="0.35">
      <c r="A23" s="10" t="s">
        <v>29</v>
      </c>
      <c r="B23" s="8" t="s">
        <v>32</v>
      </c>
    </row>
    <row r="24" spans="1:6" x14ac:dyDescent="0.35">
      <c r="A24" s="10" t="s">
        <v>31</v>
      </c>
      <c r="B24" s="8" t="s">
        <v>34</v>
      </c>
    </row>
    <row r="25" spans="1:6" x14ac:dyDescent="0.35">
      <c r="A25" s="10" t="s">
        <v>33</v>
      </c>
      <c r="B25" s="8" t="s">
        <v>55</v>
      </c>
    </row>
    <row r="26" spans="1:6" x14ac:dyDescent="0.35">
      <c r="A26" s="10" t="s">
        <v>35</v>
      </c>
      <c r="B26" s="8" t="s">
        <v>56</v>
      </c>
    </row>
    <row r="27" spans="1:6" x14ac:dyDescent="0.35">
      <c r="A27" s="10"/>
      <c r="B27" s="8"/>
    </row>
    <row r="28" spans="1:6" x14ac:dyDescent="0.35">
      <c r="A28" s="35" t="s">
        <v>54</v>
      </c>
      <c r="B28" s="8"/>
    </row>
    <row r="29" spans="1:6" x14ac:dyDescent="0.35">
      <c r="A29" s="35"/>
      <c r="B29" s="8"/>
    </row>
    <row r="30" spans="1:6" x14ac:dyDescent="0.35">
      <c r="A30" s="35"/>
      <c r="B30" s="8"/>
      <c r="C30" s="4" t="s">
        <v>42</v>
      </c>
      <c r="F30" s="11">
        <v>50000</v>
      </c>
    </row>
    <row r="31" spans="1:6" x14ac:dyDescent="0.35">
      <c r="A31" s="35"/>
      <c r="B31" s="8"/>
      <c r="C31" s="4" t="s">
        <v>44</v>
      </c>
      <c r="F31" s="11">
        <v>21000</v>
      </c>
    </row>
    <row r="32" spans="1:6" x14ac:dyDescent="0.35">
      <c r="A32" s="10"/>
      <c r="B32" s="8"/>
      <c r="C32" s="4" t="s">
        <v>45</v>
      </c>
      <c r="F32" s="11">
        <v>60000</v>
      </c>
    </row>
    <row r="33" spans="1:5" x14ac:dyDescent="0.35">
      <c r="A33" s="10"/>
      <c r="B33" s="8"/>
    </row>
    <row r="34" spans="1:5" x14ac:dyDescent="0.35">
      <c r="A34" s="13" t="s">
        <v>36</v>
      </c>
      <c r="B34" s="8"/>
    </row>
    <row r="35" spans="1:5" x14ac:dyDescent="0.35">
      <c r="A35" s="8"/>
      <c r="B35" s="8"/>
    </row>
    <row r="36" spans="1:5" x14ac:dyDescent="0.35">
      <c r="A36" s="10" t="s">
        <v>57</v>
      </c>
      <c r="B36" s="8" t="s">
        <v>59</v>
      </c>
    </row>
    <row r="37" spans="1:5" x14ac:dyDescent="0.35">
      <c r="A37" s="10" t="s">
        <v>58</v>
      </c>
      <c r="B37" s="8" t="s">
        <v>60</v>
      </c>
    </row>
    <row r="38" spans="1:5" x14ac:dyDescent="0.35">
      <c r="A38" s="10"/>
      <c r="B38" s="8" t="s">
        <v>61</v>
      </c>
    </row>
    <row r="39" spans="1:5" x14ac:dyDescent="0.35">
      <c r="A39" s="10"/>
      <c r="B39" s="8" t="s">
        <v>62</v>
      </c>
    </row>
    <row r="40" spans="1:5" x14ac:dyDescent="0.35">
      <c r="A40" s="10" t="s">
        <v>63</v>
      </c>
      <c r="B40" s="8" t="s">
        <v>124</v>
      </c>
    </row>
    <row r="41" spans="1:5" x14ac:dyDescent="0.35">
      <c r="A41" s="36" t="s">
        <v>64</v>
      </c>
      <c r="B41" s="5" t="s">
        <v>120</v>
      </c>
    </row>
    <row r="42" spans="1:5" x14ac:dyDescent="0.35">
      <c r="A42" s="10" t="s">
        <v>66</v>
      </c>
      <c r="B42" s="8" t="s">
        <v>65</v>
      </c>
    </row>
    <row r="43" spans="1:5" x14ac:dyDescent="0.35">
      <c r="A43" s="8"/>
      <c r="B43" s="8" t="s">
        <v>121</v>
      </c>
    </row>
    <row r="44" spans="1:5" x14ac:dyDescent="0.35">
      <c r="A44" s="10" t="s">
        <v>122</v>
      </c>
      <c r="B44" s="8" t="s">
        <v>123</v>
      </c>
    </row>
    <row r="45" spans="1:5" x14ac:dyDescent="0.35">
      <c r="A45" s="5"/>
      <c r="B45" s="5"/>
      <c r="C45" s="5"/>
      <c r="D45" s="5"/>
      <c r="E45" s="5"/>
    </row>
    <row r="46" spans="1:5" x14ac:dyDescent="0.35">
      <c r="A46" s="5"/>
      <c r="B46" s="8"/>
    </row>
    <row r="47" spans="1:5" x14ac:dyDescent="0.35">
      <c r="A47" s="10"/>
      <c r="B47" s="8"/>
    </row>
    <row r="48" spans="1:5" x14ac:dyDescent="0.35">
      <c r="A48" s="10"/>
      <c r="B48" s="8"/>
    </row>
    <row r="49" spans="1:2" x14ac:dyDescent="0.35">
      <c r="A49" s="10"/>
      <c r="B49" s="8"/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"/>
  <sheetViews>
    <sheetView zoomScale="150" zoomScaleNormal="150" zoomScalePageLayoutView="145" workbookViewId="0">
      <pane ySplit="4" topLeftCell="A5" activePane="bottomLeft" state="frozen"/>
      <selection pane="bottomLeft" activeCell="A5" sqref="A5"/>
    </sheetView>
  </sheetViews>
  <sheetFormatPr defaultColWidth="8.81640625" defaultRowHeight="14.5" x14ac:dyDescent="0.35"/>
  <cols>
    <col min="1" max="1" width="8.81640625" style="17"/>
    <col min="2" max="2" width="38.453125" style="17" customWidth="1"/>
    <col min="3" max="4" width="15.7265625" style="12" customWidth="1"/>
    <col min="5" max="16384" width="8.81640625" style="17"/>
  </cols>
  <sheetData>
    <row r="1" spans="1:4" x14ac:dyDescent="0.35">
      <c r="A1" s="16" t="s">
        <v>51</v>
      </c>
    </row>
    <row r="2" spans="1:4" x14ac:dyDescent="0.35">
      <c r="A2" s="16" t="s">
        <v>4</v>
      </c>
      <c r="B2" s="22"/>
    </row>
    <row r="4" spans="1:4" x14ac:dyDescent="0.35">
      <c r="A4" s="78" t="s">
        <v>13</v>
      </c>
      <c r="B4" s="78" t="s">
        <v>0</v>
      </c>
      <c r="C4" s="79" t="s">
        <v>1</v>
      </c>
      <c r="D4" s="79" t="s">
        <v>2</v>
      </c>
    </row>
    <row r="5" spans="1:4" x14ac:dyDescent="0.35">
      <c r="A5" s="73"/>
      <c r="B5" s="74"/>
      <c r="C5" s="41"/>
      <c r="D5" s="41"/>
    </row>
    <row r="6" spans="1:4" x14ac:dyDescent="0.35">
      <c r="A6" s="75" t="s">
        <v>52</v>
      </c>
      <c r="B6" s="74"/>
      <c r="C6" s="41"/>
      <c r="D6" s="41"/>
    </row>
    <row r="7" spans="1:4" x14ac:dyDescent="0.35">
      <c r="A7" s="74"/>
      <c r="B7" s="74"/>
      <c r="C7" s="41"/>
      <c r="D7" s="41"/>
    </row>
    <row r="8" spans="1:4" x14ac:dyDescent="0.35">
      <c r="A8" s="74"/>
      <c r="B8" s="74"/>
      <c r="C8" s="41"/>
      <c r="D8" s="41"/>
    </row>
    <row r="9" spans="1:4" x14ac:dyDescent="0.35">
      <c r="A9" s="76" t="s">
        <v>53</v>
      </c>
      <c r="B9" s="74"/>
      <c r="C9" s="41"/>
      <c r="D9" s="41"/>
    </row>
    <row r="10" spans="1:4" x14ac:dyDescent="0.35">
      <c r="A10" s="74"/>
      <c r="B10" s="74"/>
      <c r="C10" s="41"/>
      <c r="D10" s="41"/>
    </row>
    <row r="11" spans="1:4" x14ac:dyDescent="0.35">
      <c r="A11" s="74"/>
      <c r="B11" s="74"/>
      <c r="C11" s="41"/>
      <c r="D11" s="41"/>
    </row>
    <row r="12" spans="1:4" x14ac:dyDescent="0.35">
      <c r="A12" s="73"/>
      <c r="B12" s="74"/>
      <c r="C12" s="41"/>
      <c r="D12" s="41"/>
    </row>
    <row r="13" spans="1:4" x14ac:dyDescent="0.35">
      <c r="A13" s="75" t="s">
        <v>28</v>
      </c>
      <c r="B13" s="74"/>
      <c r="C13" s="41"/>
      <c r="D13" s="41"/>
    </row>
    <row r="14" spans="1:4" x14ac:dyDescent="0.35">
      <c r="A14" s="74"/>
      <c r="B14" s="74"/>
      <c r="C14" s="41"/>
      <c r="D14" s="41"/>
    </row>
    <row r="15" spans="1:4" x14ac:dyDescent="0.35">
      <c r="A15" s="73"/>
      <c r="B15" s="74"/>
      <c r="C15" s="41"/>
      <c r="D15" s="41"/>
    </row>
    <row r="16" spans="1:4" x14ac:dyDescent="0.35">
      <c r="A16" s="73"/>
      <c r="B16" s="74"/>
      <c r="C16" s="41"/>
      <c r="D16" s="41"/>
    </row>
    <row r="17" spans="1:4" x14ac:dyDescent="0.35">
      <c r="A17" s="75" t="s">
        <v>67</v>
      </c>
      <c r="B17" s="74"/>
      <c r="C17" s="41"/>
      <c r="D17" s="41"/>
    </row>
    <row r="18" spans="1:4" x14ac:dyDescent="0.35">
      <c r="A18" s="73"/>
      <c r="B18" s="74"/>
      <c r="C18" s="41"/>
      <c r="D18" s="41"/>
    </row>
    <row r="19" spans="1:4" x14ac:dyDescent="0.35">
      <c r="A19" s="73"/>
      <c r="B19" s="74"/>
      <c r="C19" s="77"/>
      <c r="D19" s="77"/>
    </row>
    <row r="20" spans="1:4" x14ac:dyDescent="0.35">
      <c r="A20" s="75" t="s">
        <v>68</v>
      </c>
      <c r="B20" s="74"/>
      <c r="C20" s="77"/>
      <c r="D20" s="77"/>
    </row>
    <row r="21" spans="1:4" x14ac:dyDescent="0.35">
      <c r="A21" s="73"/>
      <c r="B21" s="74"/>
      <c r="C21" s="41"/>
      <c r="D21" s="41"/>
    </row>
    <row r="22" spans="1:4" x14ac:dyDescent="0.35">
      <c r="A22" s="73"/>
      <c r="B22" s="74"/>
      <c r="C22" s="41"/>
      <c r="D22" s="41"/>
    </row>
    <row r="23" spans="1:4" x14ac:dyDescent="0.35">
      <c r="A23" s="75" t="s">
        <v>69</v>
      </c>
      <c r="B23" s="74"/>
      <c r="C23" s="41"/>
      <c r="D23" s="41"/>
    </row>
    <row r="24" spans="1:4" x14ac:dyDescent="0.35">
      <c r="A24" s="73"/>
      <c r="B24" s="74"/>
      <c r="C24" s="41"/>
      <c r="D24" s="41"/>
    </row>
    <row r="25" spans="1:4" x14ac:dyDescent="0.35">
      <c r="A25" s="73"/>
      <c r="B25" s="74"/>
      <c r="C25" s="41"/>
      <c r="D25" s="41"/>
    </row>
    <row r="26" spans="1:4" x14ac:dyDescent="0.35">
      <c r="A26" s="75" t="s">
        <v>92</v>
      </c>
      <c r="B26" s="74"/>
      <c r="C26" s="41"/>
      <c r="D26" s="41"/>
    </row>
    <row r="27" spans="1:4" x14ac:dyDescent="0.35">
      <c r="A27" s="73"/>
      <c r="B27" s="74"/>
      <c r="C27" s="41"/>
      <c r="D27" s="41"/>
    </row>
    <row r="28" spans="1:4" x14ac:dyDescent="0.35">
      <c r="A28" s="73"/>
      <c r="B28" s="74"/>
      <c r="C28" s="41"/>
      <c r="D28" s="41"/>
    </row>
    <row r="29" spans="1:4" x14ac:dyDescent="0.35">
      <c r="A29" s="75" t="s">
        <v>93</v>
      </c>
      <c r="B29" s="74"/>
      <c r="C29" s="41"/>
      <c r="D29" s="41"/>
    </row>
    <row r="30" spans="1:4" x14ac:dyDescent="0.35">
      <c r="A30" s="73"/>
      <c r="B30" s="74"/>
      <c r="C30" s="41"/>
      <c r="D30" s="41"/>
    </row>
    <row r="31" spans="1:4" x14ac:dyDescent="0.35">
      <c r="A31" s="73"/>
      <c r="B31" s="74"/>
      <c r="C31" s="41"/>
      <c r="D31" s="41"/>
    </row>
    <row r="32" spans="1:4" x14ac:dyDescent="0.35">
      <c r="A32" s="75" t="s">
        <v>94</v>
      </c>
      <c r="B32" s="74"/>
      <c r="C32" s="41"/>
      <c r="D32" s="41"/>
    </row>
    <row r="33" spans="1:4" x14ac:dyDescent="0.35">
      <c r="A33" s="73"/>
      <c r="B33" s="74"/>
      <c r="C33" s="41"/>
      <c r="D33" s="41"/>
    </row>
    <row r="34" spans="1:4" x14ac:dyDescent="0.35">
      <c r="A34" s="73"/>
      <c r="B34" s="74"/>
      <c r="C34" s="41"/>
      <c r="D34" s="41"/>
    </row>
    <row r="35" spans="1:4" x14ac:dyDescent="0.35">
      <c r="A35" s="75">
        <v>5</v>
      </c>
      <c r="B35" s="74"/>
      <c r="C35" s="41"/>
      <c r="D35" s="41"/>
    </row>
    <row r="36" spans="1:4" x14ac:dyDescent="0.35">
      <c r="A36" s="74"/>
      <c r="B36" s="74"/>
      <c r="C36" s="41"/>
      <c r="D36" s="41"/>
    </row>
    <row r="37" spans="1:4" x14ac:dyDescent="0.35">
      <c r="A37" s="74"/>
      <c r="B37" s="74"/>
      <c r="C37" s="41"/>
      <c r="D37" s="41"/>
    </row>
    <row r="38" spans="1:4" x14ac:dyDescent="0.35">
      <c r="A38" s="74"/>
      <c r="B38" s="74"/>
      <c r="C38" s="41"/>
      <c r="D38" s="41"/>
    </row>
    <row r="39" spans="1:4" x14ac:dyDescent="0.35">
      <c r="A39" s="74"/>
      <c r="B39" s="74"/>
      <c r="C39" s="41"/>
      <c r="D39" s="41"/>
    </row>
    <row r="40" spans="1:4" x14ac:dyDescent="0.35">
      <c r="A40" s="74"/>
      <c r="B40" s="74"/>
      <c r="C40" s="41"/>
      <c r="D40" s="41"/>
    </row>
    <row r="41" spans="1:4" x14ac:dyDescent="0.35">
      <c r="A41" s="74"/>
      <c r="B41" s="74"/>
      <c r="C41" s="41"/>
      <c r="D41" s="41"/>
    </row>
    <row r="42" spans="1:4" x14ac:dyDescent="0.35">
      <c r="A42" s="74"/>
      <c r="B42" s="74"/>
      <c r="C42" s="41"/>
      <c r="D42" s="41"/>
    </row>
    <row r="43" spans="1:4" x14ac:dyDescent="0.35">
      <c r="A43" s="74"/>
      <c r="B43" s="74"/>
      <c r="C43" s="41"/>
      <c r="D43" s="41"/>
    </row>
    <row r="44" spans="1:4" x14ac:dyDescent="0.35">
      <c r="A44" s="74"/>
      <c r="B44" s="74"/>
      <c r="C44" s="41"/>
      <c r="D44" s="41"/>
    </row>
  </sheetData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W39"/>
  <sheetViews>
    <sheetView zoomScaleNormal="100" zoomScalePageLayoutView="115" workbookViewId="0">
      <pane ySplit="4" topLeftCell="A5" activePane="bottomLeft" state="frozen"/>
      <selection pane="bottomLeft" activeCell="A5" sqref="A5"/>
    </sheetView>
  </sheetViews>
  <sheetFormatPr defaultColWidth="8.81640625" defaultRowHeight="14.5" x14ac:dyDescent="0.35"/>
  <cols>
    <col min="1" max="1" width="1.6328125" style="17" customWidth="1"/>
    <col min="2" max="2" width="4.6328125" style="17" customWidth="1"/>
    <col min="3" max="4" width="11.1796875" style="17" customWidth="1"/>
    <col min="5" max="6" width="4.6328125" style="17" customWidth="1"/>
    <col min="7" max="8" width="11.1796875" style="17" customWidth="1"/>
    <col min="9" max="10" width="4.6328125" style="17" customWidth="1"/>
    <col min="11" max="12" width="11.1796875" style="17" customWidth="1"/>
    <col min="13" max="13" width="4.6328125" style="17" customWidth="1"/>
    <col min="14" max="14" width="5.7265625" style="17" customWidth="1"/>
    <col min="15" max="15" width="4.6328125" style="17" customWidth="1"/>
    <col min="16" max="17" width="11.1796875" style="17" customWidth="1"/>
    <col min="18" max="18" width="4.6328125" style="17" customWidth="1"/>
    <col min="19" max="19" width="7.1796875" style="17" customWidth="1"/>
    <col min="20" max="20" width="4.6328125" style="17" customWidth="1"/>
    <col min="21" max="22" width="11.1796875" style="17" customWidth="1"/>
    <col min="23" max="23" width="3.6328125" style="17" customWidth="1"/>
    <col min="24" max="16384" width="8.81640625" style="17"/>
  </cols>
  <sheetData>
    <row r="1" spans="2:23" x14ac:dyDescent="0.35">
      <c r="B1" s="16" t="s">
        <v>51</v>
      </c>
    </row>
    <row r="2" spans="2:23" x14ac:dyDescent="0.35">
      <c r="B2" s="16" t="s">
        <v>6</v>
      </c>
    </row>
    <row r="4" spans="2:23" x14ac:dyDescent="0.35">
      <c r="B4" s="14" t="s">
        <v>7</v>
      </c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8" t="s">
        <v>8</v>
      </c>
      <c r="O4" s="15" t="s">
        <v>9</v>
      </c>
      <c r="P4" s="3"/>
      <c r="Q4" s="2"/>
      <c r="R4" s="2"/>
      <c r="S4" s="18" t="s">
        <v>10</v>
      </c>
      <c r="T4" s="15" t="s">
        <v>11</v>
      </c>
      <c r="U4" s="3"/>
      <c r="V4" s="3"/>
      <c r="W4" s="2"/>
    </row>
    <row r="6" spans="2:23" ht="15" thickBot="1" x14ac:dyDescent="0.4"/>
    <row r="7" spans="2:23" x14ac:dyDescent="0.3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8"/>
    </row>
    <row r="8" spans="2:23" x14ac:dyDescent="0.35">
      <c r="B8" s="29"/>
      <c r="C8" s="19" t="s">
        <v>42</v>
      </c>
      <c r="D8" s="19"/>
      <c r="E8" s="22"/>
      <c r="F8" s="22"/>
      <c r="G8" s="19" t="s">
        <v>44</v>
      </c>
      <c r="H8" s="19"/>
      <c r="I8" s="20" t="s">
        <v>12</v>
      </c>
      <c r="J8" s="22"/>
      <c r="K8" s="19" t="s">
        <v>45</v>
      </c>
      <c r="L8" s="19"/>
      <c r="M8" s="30"/>
      <c r="P8" s="19" t="s">
        <v>47</v>
      </c>
      <c r="Q8" s="19"/>
      <c r="U8" s="19" t="s">
        <v>50</v>
      </c>
      <c r="V8" s="19"/>
    </row>
    <row r="9" spans="2:23" x14ac:dyDescent="0.35">
      <c r="B9" s="29" t="s">
        <v>43</v>
      </c>
      <c r="C9" s="31"/>
      <c r="D9" s="21"/>
      <c r="E9" s="22"/>
      <c r="F9" s="22" t="s">
        <v>43</v>
      </c>
      <c r="G9" s="31"/>
      <c r="H9" s="21"/>
      <c r="I9" s="22"/>
      <c r="J9" s="22" t="s">
        <v>43</v>
      </c>
      <c r="K9" s="31"/>
      <c r="L9" s="21"/>
      <c r="M9" s="30"/>
      <c r="P9" s="12"/>
      <c r="Q9" s="21">
        <v>0</v>
      </c>
      <c r="R9" s="17" t="s">
        <v>43</v>
      </c>
      <c r="U9" s="12"/>
      <c r="V9" s="21"/>
    </row>
    <row r="10" spans="2:23" x14ac:dyDescent="0.35">
      <c r="B10" s="37"/>
      <c r="C10" s="31"/>
      <c r="D10" s="23"/>
      <c r="E10" s="22"/>
      <c r="F10" s="38"/>
      <c r="G10" s="31"/>
      <c r="H10" s="23"/>
      <c r="I10" s="22"/>
      <c r="J10" s="38"/>
      <c r="K10" s="31"/>
      <c r="L10" s="23"/>
      <c r="M10" s="30"/>
      <c r="P10" s="12"/>
      <c r="Q10" s="23"/>
      <c r="R10" s="39"/>
      <c r="U10" s="12"/>
      <c r="V10" s="23"/>
      <c r="W10" s="22"/>
    </row>
    <row r="11" spans="2:23" x14ac:dyDescent="0.35">
      <c r="B11" s="29"/>
      <c r="C11" s="31"/>
      <c r="D11" s="23"/>
      <c r="E11" s="22"/>
      <c r="F11" s="38"/>
      <c r="G11" s="31"/>
      <c r="H11" s="23"/>
      <c r="I11" s="22"/>
      <c r="J11" s="22"/>
      <c r="K11" s="31"/>
      <c r="L11" s="23"/>
      <c r="M11" s="30"/>
      <c r="P11" s="12"/>
      <c r="Q11" s="23"/>
      <c r="R11" s="22"/>
      <c r="U11" s="12"/>
      <c r="V11" s="23"/>
      <c r="W11" s="22"/>
    </row>
    <row r="12" spans="2:23" x14ac:dyDescent="0.35">
      <c r="B12" s="29"/>
      <c r="C12" s="31"/>
      <c r="D12" s="23"/>
      <c r="E12" s="22"/>
      <c r="F12" s="38"/>
      <c r="G12" s="31"/>
      <c r="H12" s="23"/>
      <c r="I12" s="22"/>
      <c r="J12" s="22"/>
      <c r="K12" s="31"/>
      <c r="L12" s="23"/>
      <c r="M12" s="30"/>
      <c r="P12" s="12"/>
      <c r="Q12" s="23"/>
      <c r="R12" s="22"/>
      <c r="U12" s="12"/>
      <c r="V12" s="23"/>
      <c r="W12" s="22"/>
    </row>
    <row r="13" spans="2:23" x14ac:dyDescent="0.35">
      <c r="B13" s="29"/>
      <c r="C13" s="31"/>
      <c r="D13" s="23"/>
      <c r="E13" s="22"/>
      <c r="F13" s="22"/>
      <c r="G13" s="31"/>
      <c r="H13" s="23"/>
      <c r="I13" s="22"/>
      <c r="J13" s="22"/>
      <c r="K13" s="31"/>
      <c r="L13" s="23"/>
      <c r="M13" s="30"/>
      <c r="P13" s="12"/>
      <c r="Q13" s="23"/>
      <c r="R13" s="22"/>
      <c r="U13" s="12"/>
      <c r="V13" s="23"/>
      <c r="W13" s="22"/>
    </row>
    <row r="14" spans="2:23" x14ac:dyDescent="0.35">
      <c r="B14" s="29"/>
      <c r="C14" s="31"/>
      <c r="D14" s="23"/>
      <c r="E14" s="22"/>
      <c r="F14" s="22"/>
      <c r="G14" s="31"/>
      <c r="H14" s="23"/>
      <c r="I14" s="22"/>
      <c r="J14" s="22"/>
      <c r="K14" s="31"/>
      <c r="L14" s="23"/>
      <c r="M14" s="30"/>
      <c r="P14" s="12"/>
      <c r="Q14" s="23"/>
      <c r="R14" s="22"/>
      <c r="U14" s="12"/>
      <c r="V14" s="23"/>
      <c r="W14" s="22"/>
    </row>
    <row r="15" spans="2:23" ht="15" thickBot="1" x14ac:dyDescent="0.4">
      <c r="B15" s="29"/>
      <c r="C15" s="24">
        <f>IF((SUM(C9:C14)-SUM(D9:D14))&gt;=0, SUM(C9:C14)-SUM(D9:D14),"")</f>
        <v>0</v>
      </c>
      <c r="D15" s="25" t="str">
        <f>IF((SUM(D9:D14)-SUM(C9:C14))&gt;0, SUM(D9:D14)-SUM(C9:C14),"")</f>
        <v/>
      </c>
      <c r="E15" s="22"/>
      <c r="F15" s="22"/>
      <c r="G15" s="24">
        <f>IF((SUM(G9:G14)-SUM(H9:H14))&gt;=0, SUM(G9:G14)-SUM(H9:H14),"")</f>
        <v>0</v>
      </c>
      <c r="H15" s="25" t="str">
        <f>IF((SUM(H9:H14)-SUM(G9:G14))&gt;0, SUM(H9:H14)-SUM(G9:G14),"")</f>
        <v/>
      </c>
      <c r="I15" s="22"/>
      <c r="J15" s="22"/>
      <c r="K15" s="24">
        <f>IF((SUM(K9:K14)-SUM(L9:L14))&gt;=0, SUM(K9:K14)-SUM(L9:L14),"")</f>
        <v>0</v>
      </c>
      <c r="L15" s="25" t="str">
        <f>IF((SUM(L9:L14)-SUM(K9:K14))&gt;0, SUM(L9:L14)-SUM(K9:K14),"")</f>
        <v/>
      </c>
      <c r="M15" s="30"/>
      <c r="P15" s="24" t="str">
        <f>IF((SUM(P9:P14)-SUM(Q9:Q14))&gt;0, SUM(P9:P14)-SUM(Q9:Q14),"")</f>
        <v/>
      </c>
      <c r="Q15" s="25">
        <f>IF((SUM(Q9:Q14)-SUM(P9:P14))&gt;=0, SUM(Q9:Q14)-SUM(P9:P14),"")</f>
        <v>0</v>
      </c>
      <c r="R15" s="22"/>
      <c r="U15" s="24" t="str">
        <f>IF((SUM(U9:U14)-SUM(V9:V14))&gt;0, SUM(U9:U14)-SUM(V9:V14),"")</f>
        <v/>
      </c>
      <c r="V15" s="25">
        <f>IF((SUM(V9:V14)-SUM(U9:U14))&gt;=0, SUM(V9:V14)-SUM(U9:U14),"")</f>
        <v>0</v>
      </c>
      <c r="W15" s="22"/>
    </row>
    <row r="16" spans="2:23" ht="15.5" thickTop="1" thickBot="1" x14ac:dyDescent="0.4">
      <c r="B16" s="29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30"/>
    </row>
    <row r="17" spans="2:23" x14ac:dyDescent="0.35">
      <c r="B17" s="29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30"/>
      <c r="O17" s="26"/>
      <c r="P17" s="27"/>
      <c r="Q17" s="27"/>
      <c r="R17" s="28"/>
      <c r="T17" s="26"/>
      <c r="U17" s="27"/>
      <c r="V17" s="27"/>
      <c r="W17" s="28"/>
    </row>
    <row r="18" spans="2:23" x14ac:dyDescent="0.35">
      <c r="B18" s="29"/>
      <c r="C18" s="19" t="s">
        <v>46</v>
      </c>
      <c r="D18" s="19"/>
      <c r="E18" s="22"/>
      <c r="F18" s="22"/>
      <c r="G18" s="22"/>
      <c r="H18" s="22"/>
      <c r="I18" s="20" t="s">
        <v>12</v>
      </c>
      <c r="J18" s="20"/>
      <c r="K18" s="20"/>
      <c r="L18" s="20"/>
      <c r="M18" s="30"/>
      <c r="O18" s="29"/>
      <c r="P18" s="19" t="s">
        <v>48</v>
      </c>
      <c r="Q18" s="19"/>
      <c r="R18" s="30"/>
      <c r="T18" s="29"/>
      <c r="U18" s="19" t="s">
        <v>49</v>
      </c>
      <c r="V18" s="19"/>
      <c r="W18" s="30"/>
    </row>
    <row r="19" spans="2:23" x14ac:dyDescent="0.35">
      <c r="B19" s="29" t="s">
        <v>43</v>
      </c>
      <c r="C19" s="31">
        <v>0</v>
      </c>
      <c r="D19" s="21"/>
      <c r="E19" s="22"/>
      <c r="F19" s="22"/>
      <c r="G19" s="22"/>
      <c r="H19" s="22"/>
      <c r="I19" s="22"/>
      <c r="J19" s="22"/>
      <c r="K19" s="22"/>
      <c r="L19" s="22"/>
      <c r="M19" s="30"/>
      <c r="O19" s="29"/>
      <c r="P19" s="31"/>
      <c r="Q19" s="21">
        <v>0</v>
      </c>
      <c r="R19" s="30" t="s">
        <v>43</v>
      </c>
      <c r="T19" s="29"/>
      <c r="U19" s="31"/>
      <c r="V19" s="21"/>
      <c r="W19" s="30"/>
    </row>
    <row r="20" spans="2:23" x14ac:dyDescent="0.35">
      <c r="B20" s="37"/>
      <c r="C20" s="31"/>
      <c r="D20" s="23"/>
      <c r="E20" s="22"/>
      <c r="F20" s="22"/>
      <c r="G20" s="22"/>
      <c r="H20" s="22"/>
      <c r="I20" s="22"/>
      <c r="J20" s="22"/>
      <c r="K20" s="22"/>
      <c r="L20" s="22"/>
      <c r="M20" s="30"/>
      <c r="O20" s="29"/>
      <c r="P20" s="31"/>
      <c r="Q20" s="23"/>
      <c r="R20" s="30"/>
      <c r="T20" s="29"/>
      <c r="U20" s="31"/>
      <c r="V20" s="23"/>
      <c r="W20" s="55"/>
    </row>
    <row r="21" spans="2:23" x14ac:dyDescent="0.35">
      <c r="B21" s="37"/>
      <c r="C21" s="31"/>
      <c r="D21" s="23"/>
      <c r="E21" s="22"/>
      <c r="F21" s="22"/>
      <c r="G21" s="22"/>
      <c r="H21" s="22"/>
      <c r="I21" s="22"/>
      <c r="J21" s="22"/>
      <c r="K21" s="22"/>
      <c r="L21" s="22"/>
      <c r="M21" s="30"/>
      <c r="O21" s="29"/>
      <c r="P21" s="31"/>
      <c r="Q21" s="23"/>
      <c r="R21" s="30"/>
      <c r="T21" s="29"/>
      <c r="U21" s="31"/>
      <c r="V21" s="23"/>
      <c r="W21" s="30"/>
    </row>
    <row r="22" spans="2:23" x14ac:dyDescent="0.35">
      <c r="B22" s="37"/>
      <c r="C22" s="31"/>
      <c r="D22" s="23"/>
      <c r="E22" s="22"/>
      <c r="F22" s="22"/>
      <c r="G22" s="22"/>
      <c r="H22" s="22"/>
      <c r="I22" s="22"/>
      <c r="J22" s="22"/>
      <c r="K22" s="22"/>
      <c r="L22" s="22"/>
      <c r="M22" s="30"/>
      <c r="O22" s="29"/>
      <c r="P22" s="31"/>
      <c r="Q22" s="23"/>
      <c r="R22" s="30"/>
      <c r="T22" s="29"/>
      <c r="U22" s="31"/>
      <c r="V22" s="23"/>
      <c r="W22" s="30"/>
    </row>
    <row r="23" spans="2:23" x14ac:dyDescent="0.35">
      <c r="B23" s="37"/>
      <c r="C23" s="31"/>
      <c r="D23" s="23"/>
      <c r="E23" s="22"/>
      <c r="F23" s="22"/>
      <c r="G23" s="22"/>
      <c r="H23" s="22"/>
      <c r="I23" s="22"/>
      <c r="J23" s="22"/>
      <c r="K23" s="22"/>
      <c r="L23" s="22"/>
      <c r="M23" s="30"/>
      <c r="O23" s="29"/>
      <c r="P23" s="31"/>
      <c r="Q23" s="23"/>
      <c r="R23" s="30"/>
      <c r="T23" s="29"/>
      <c r="U23" s="31"/>
      <c r="V23" s="23"/>
      <c r="W23" s="30"/>
    </row>
    <row r="24" spans="2:23" x14ac:dyDescent="0.35">
      <c r="B24" s="29"/>
      <c r="C24" s="31"/>
      <c r="D24" s="23"/>
      <c r="E24" s="22"/>
      <c r="F24" s="22"/>
      <c r="G24" s="22"/>
      <c r="H24" s="22"/>
      <c r="I24" s="22"/>
      <c r="J24" s="22"/>
      <c r="K24" s="22"/>
      <c r="L24" s="22"/>
      <c r="M24" s="30"/>
      <c r="O24" s="29"/>
      <c r="P24" s="31"/>
      <c r="Q24" s="23"/>
      <c r="R24" s="30"/>
      <c r="T24" s="29"/>
      <c r="U24" s="31"/>
      <c r="V24" s="23"/>
      <c r="W24" s="30"/>
    </row>
    <row r="25" spans="2:23" x14ac:dyDescent="0.35">
      <c r="B25" s="29"/>
      <c r="C25" s="31"/>
      <c r="D25" s="23"/>
      <c r="E25" s="22"/>
      <c r="F25" s="22"/>
      <c r="G25" s="22"/>
      <c r="H25" s="22"/>
      <c r="I25" s="22"/>
      <c r="J25" s="22"/>
      <c r="K25" s="22"/>
      <c r="L25" s="22"/>
      <c r="M25" s="30"/>
      <c r="O25" s="29"/>
      <c r="P25" s="31"/>
      <c r="Q25" s="23"/>
      <c r="R25" s="30"/>
      <c r="T25" s="29"/>
      <c r="U25" s="31"/>
      <c r="V25" s="23"/>
      <c r="W25" s="30"/>
    </row>
    <row r="26" spans="2:23" ht="15" thickBot="1" x14ac:dyDescent="0.4">
      <c r="B26" s="29"/>
      <c r="C26" s="24">
        <f>IF((SUM(C19:C25)-SUM(D19:D25))&gt;=0, SUM(C19:C25)-SUM(D19:D25),"")</f>
        <v>0</v>
      </c>
      <c r="D26" s="25" t="str">
        <f>IF((SUM(D19:D25)-SUM(C19:C25))&gt;0, SUM(D19:D25)-SUM(C19:C25),"")</f>
        <v/>
      </c>
      <c r="E26" s="22"/>
      <c r="F26" s="22"/>
      <c r="G26" s="22"/>
      <c r="H26" s="22"/>
      <c r="I26" s="22"/>
      <c r="J26" s="22"/>
      <c r="K26" s="22"/>
      <c r="L26" s="22"/>
      <c r="M26" s="30"/>
      <c r="O26" s="29"/>
      <c r="P26" s="24" t="str">
        <f>IF((SUM(P19:P24)-SUM(Q19:Q24))&gt;0, SUM(P19:P24)-SUM(Q19:Q24),"")</f>
        <v/>
      </c>
      <c r="Q26" s="25">
        <f>IF((SUM(Q19:Q24)-SUM(P19:P24))&gt;=0, SUM(Q19:Q24)-SUM(P19:P24),"")</f>
        <v>0</v>
      </c>
      <c r="R26" s="30"/>
      <c r="T26" s="29"/>
      <c r="U26" s="24">
        <f>IF((SUM(U19:U24)-SUM(V19:V24))&gt;=0, SUM(U19:U24)-SUM(V19:V24),"")</f>
        <v>0</v>
      </c>
      <c r="V26" s="25" t="str">
        <f>IF((SUM(V19:V24)-SUM(U19:U24))&gt;0, SUM(V19:V24)-SUM(U19:U24),"")</f>
        <v/>
      </c>
      <c r="W26" s="30"/>
    </row>
    <row r="27" spans="2:23" ht="15.5" thickTop="1" thickBot="1" x14ac:dyDescent="0.4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  <c r="O27" s="32"/>
      <c r="P27" s="33"/>
      <c r="Q27" s="33"/>
      <c r="R27" s="34"/>
      <c r="T27" s="32"/>
      <c r="U27" s="33"/>
      <c r="V27" s="33"/>
      <c r="W27" s="34"/>
    </row>
    <row r="31" spans="2:23" x14ac:dyDescent="0.35">
      <c r="C31" s="19" t="s">
        <v>3</v>
      </c>
      <c r="D31" s="19"/>
      <c r="G31" s="19" t="s">
        <v>5</v>
      </c>
      <c r="H31" s="19"/>
      <c r="I31" s="20" t="s">
        <v>12</v>
      </c>
      <c r="J31" s="20" t="s">
        <v>12</v>
      </c>
      <c r="K31" s="20" t="s">
        <v>12</v>
      </c>
      <c r="L31" s="20" t="s">
        <v>12</v>
      </c>
      <c r="M31" s="20" t="s">
        <v>12</v>
      </c>
      <c r="N31" s="20" t="s">
        <v>12</v>
      </c>
    </row>
    <row r="32" spans="2:23" x14ac:dyDescent="0.35">
      <c r="B32" s="17" t="s">
        <v>43</v>
      </c>
      <c r="C32" s="12">
        <v>0</v>
      </c>
      <c r="D32" s="21"/>
      <c r="G32" s="12"/>
      <c r="H32" s="21">
        <v>0</v>
      </c>
      <c r="I32" s="17" t="s">
        <v>43</v>
      </c>
      <c r="J32" s="22"/>
      <c r="K32" s="22"/>
      <c r="L32" s="22"/>
    </row>
    <row r="33" spans="2:12" x14ac:dyDescent="0.35">
      <c r="B33" s="44"/>
      <c r="C33" s="12"/>
      <c r="D33" s="23"/>
      <c r="G33" s="12"/>
      <c r="H33" s="23"/>
      <c r="I33" s="22"/>
      <c r="J33" s="22"/>
      <c r="K33" s="22"/>
      <c r="L33" s="22"/>
    </row>
    <row r="34" spans="2:12" x14ac:dyDescent="0.35">
      <c r="C34" s="12"/>
      <c r="D34" s="23"/>
      <c r="G34" s="12"/>
      <c r="H34" s="23"/>
      <c r="I34" s="22"/>
      <c r="J34" s="22"/>
      <c r="K34" s="22"/>
      <c r="L34" s="22"/>
    </row>
    <row r="35" spans="2:12" x14ac:dyDescent="0.35">
      <c r="C35" s="12"/>
      <c r="D35" s="23"/>
      <c r="G35" s="12"/>
      <c r="H35" s="23"/>
      <c r="I35" s="22"/>
      <c r="J35" s="22"/>
      <c r="K35" s="22"/>
      <c r="L35" s="22"/>
    </row>
    <row r="36" spans="2:12" x14ac:dyDescent="0.35">
      <c r="C36" s="12"/>
      <c r="D36" s="23"/>
      <c r="G36" s="12"/>
      <c r="H36" s="23"/>
      <c r="I36" s="22"/>
      <c r="J36" s="22"/>
      <c r="K36" s="22"/>
      <c r="L36" s="22"/>
    </row>
    <row r="37" spans="2:12" x14ac:dyDescent="0.35">
      <c r="C37" s="12"/>
      <c r="D37" s="23"/>
      <c r="G37" s="12"/>
      <c r="H37" s="23"/>
      <c r="I37" s="22"/>
      <c r="J37" s="22"/>
      <c r="K37" s="22"/>
      <c r="L37" s="22"/>
    </row>
    <row r="38" spans="2:12" ht="15" thickBot="1" x14ac:dyDescent="0.4">
      <c r="C38" s="24">
        <f>IF((SUM(C32:C37)-SUM(D32:D37))&gt;=0, SUM(C32:C37)-SUM(D32:D37),"")</f>
        <v>0</v>
      </c>
      <c r="D38" s="25" t="str">
        <f>IF((SUM(D32:D37)-SUM(C32:C37))&gt;0, SUM(D32:D37)-SUM(C32:C37),"")</f>
        <v/>
      </c>
      <c r="G38" s="24" t="str">
        <f>IF((SUM(G32:G37)-SUM(H32:H37))&gt;0, SUM(G32:G37)-SUM(H32:H37),"")</f>
        <v/>
      </c>
      <c r="H38" s="25">
        <f>IF((SUM(H32:H37)-SUM(G32:G37))&gt;=0, SUM(H32:H37)-SUM(G32:G37),"")</f>
        <v>0</v>
      </c>
      <c r="I38" s="22"/>
      <c r="J38" s="22"/>
      <c r="K38" s="22"/>
      <c r="L38" s="22"/>
    </row>
    <row r="39" spans="2:12" ht="15" thickTop="1" x14ac:dyDescent="0.35"/>
  </sheetData>
  <pageMargins left="0.25" right="0.25" top="0.75" bottom="0.75" header="0.3" footer="0.3"/>
  <pageSetup scale="74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8BB1-0CFF-41D6-81B8-5AE7DFCDC8FF}">
  <dimension ref="A3:I23"/>
  <sheetViews>
    <sheetView workbookViewId="0"/>
  </sheetViews>
  <sheetFormatPr defaultRowHeight="14.5" x14ac:dyDescent="0.35"/>
  <cols>
    <col min="1" max="1" width="10.6328125" style="17" customWidth="1"/>
    <col min="2" max="2" width="8.7265625" style="17"/>
    <col min="3" max="3" width="10.6328125" style="17" customWidth="1"/>
    <col min="4" max="4" width="11.453125" style="17" bestFit="1" customWidth="1"/>
    <col min="5" max="5" width="8.7265625" style="17"/>
    <col min="6" max="6" width="11.453125" style="17" bestFit="1" customWidth="1"/>
    <col min="7" max="7" width="8.7265625" style="17"/>
    <col min="8" max="8" width="1.81640625" style="17" bestFit="1" customWidth="1"/>
    <col min="9" max="9" width="12.90625" style="17" bestFit="1" customWidth="1"/>
    <col min="10" max="16384" width="8.7265625" style="17"/>
  </cols>
  <sheetData>
    <row r="3" spans="1:9" x14ac:dyDescent="0.35">
      <c r="A3" s="17" t="s">
        <v>72</v>
      </c>
    </row>
    <row r="5" spans="1:9" x14ac:dyDescent="0.35">
      <c r="A5" s="89"/>
      <c r="B5" s="89"/>
      <c r="C5" s="43" t="s">
        <v>70</v>
      </c>
      <c r="D5" s="40"/>
      <c r="E5" s="83" t="s">
        <v>8</v>
      </c>
      <c r="F5" s="85"/>
      <c r="G5" s="87" t="s">
        <v>73</v>
      </c>
    </row>
    <row r="6" spans="1:9" x14ac:dyDescent="0.35">
      <c r="C6" s="44" t="s">
        <v>71</v>
      </c>
      <c r="D6" s="41"/>
      <c r="E6" s="84"/>
      <c r="F6" s="86"/>
      <c r="G6" s="88"/>
    </row>
    <row r="10" spans="1:9" x14ac:dyDescent="0.35">
      <c r="A10" s="17" t="s">
        <v>75</v>
      </c>
    </row>
    <row r="12" spans="1:9" ht="14.5" customHeight="1" x14ac:dyDescent="0.35">
      <c r="D12" s="51"/>
      <c r="E12" s="48" t="s">
        <v>74</v>
      </c>
      <c r="F12" s="52"/>
      <c r="G12" s="49" t="s">
        <v>77</v>
      </c>
      <c r="H12" s="50" t="s">
        <v>8</v>
      </c>
      <c r="I12" s="51"/>
    </row>
    <row r="13" spans="1:9" ht="14.5" customHeight="1" x14ac:dyDescent="0.35">
      <c r="D13" s="42" t="s">
        <v>91</v>
      </c>
      <c r="F13" s="47" t="s">
        <v>87</v>
      </c>
      <c r="I13" s="47" t="s">
        <v>85</v>
      </c>
    </row>
    <row r="14" spans="1:9" x14ac:dyDescent="0.35">
      <c r="C14" s="46"/>
      <c r="D14" s="47" t="s">
        <v>90</v>
      </c>
      <c r="F14" s="47" t="s">
        <v>88</v>
      </c>
      <c r="I14" s="47" t="s">
        <v>86</v>
      </c>
    </row>
    <row r="15" spans="1:9" x14ac:dyDescent="0.35">
      <c r="C15" s="46"/>
      <c r="F15" s="47" t="s">
        <v>89</v>
      </c>
      <c r="I15" s="47"/>
    </row>
    <row r="16" spans="1:9" x14ac:dyDescent="0.35">
      <c r="C16" s="46"/>
      <c r="I16" s="47"/>
    </row>
    <row r="17" spans="1:9" x14ac:dyDescent="0.35">
      <c r="C17" s="46"/>
      <c r="I17" s="47"/>
    </row>
    <row r="18" spans="1:9" x14ac:dyDescent="0.35">
      <c r="A18" s="17" t="s">
        <v>76</v>
      </c>
    </row>
    <row r="20" spans="1:9" x14ac:dyDescent="0.35">
      <c r="B20" s="45"/>
      <c r="D20" s="51"/>
      <c r="E20" s="54" t="s">
        <v>78</v>
      </c>
      <c r="F20" s="51"/>
      <c r="H20" s="50" t="s">
        <v>8</v>
      </c>
      <c r="I20" s="51"/>
    </row>
    <row r="21" spans="1:9" x14ac:dyDescent="0.35">
      <c r="D21" s="47" t="s">
        <v>80</v>
      </c>
      <c r="F21" s="47" t="s">
        <v>79</v>
      </c>
      <c r="I21" s="47" t="s">
        <v>82</v>
      </c>
    </row>
    <row r="22" spans="1:9" x14ac:dyDescent="0.35">
      <c r="D22" s="47" t="s">
        <v>81</v>
      </c>
      <c r="F22" s="47" t="s">
        <v>81</v>
      </c>
      <c r="I22" s="47" t="s">
        <v>83</v>
      </c>
    </row>
    <row r="23" spans="1:9" x14ac:dyDescent="0.35">
      <c r="I23" s="47" t="s">
        <v>84</v>
      </c>
    </row>
  </sheetData>
  <mergeCells count="3">
    <mergeCell ref="E5:E6"/>
    <mergeCell ref="F5:F6"/>
    <mergeCell ref="G5:G6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BD12-55BB-4195-BE21-F510CC248C99}">
  <dimension ref="A1:D20"/>
  <sheetViews>
    <sheetView zoomScale="160" zoomScaleNormal="160" workbookViewId="0"/>
  </sheetViews>
  <sheetFormatPr defaultRowHeight="14.5" x14ac:dyDescent="0.35"/>
  <cols>
    <col min="1" max="1" width="41.81640625" style="17" bestFit="1" customWidth="1"/>
    <col min="2" max="2" width="11.08984375" style="12" bestFit="1" customWidth="1"/>
    <col min="3" max="3" width="11.08984375" style="17" bestFit="1" customWidth="1"/>
    <col min="4" max="4" width="11.08984375" style="12" bestFit="1" customWidth="1"/>
    <col min="5" max="16384" width="8.7265625" style="17"/>
  </cols>
  <sheetData>
    <row r="1" spans="1:4" x14ac:dyDescent="0.35">
      <c r="A1" s="58" t="s">
        <v>51</v>
      </c>
      <c r="B1" s="59"/>
      <c r="C1" s="60"/>
      <c r="D1" s="61"/>
    </row>
    <row r="2" spans="1:4" x14ac:dyDescent="0.35">
      <c r="A2" s="62" t="s">
        <v>110</v>
      </c>
      <c r="B2" s="63"/>
      <c r="C2" s="63"/>
      <c r="D2" s="64"/>
    </row>
    <row r="3" spans="1:4" x14ac:dyDescent="0.35">
      <c r="A3" s="65" t="s">
        <v>111</v>
      </c>
      <c r="B3" s="66"/>
      <c r="C3" s="66"/>
      <c r="D3" s="67"/>
    </row>
    <row r="5" spans="1:4" x14ac:dyDescent="0.35">
      <c r="A5" s="17" t="s">
        <v>97</v>
      </c>
      <c r="D5" s="68"/>
    </row>
    <row r="6" spans="1:4" x14ac:dyDescent="0.35">
      <c r="A6" s="17" t="s">
        <v>95</v>
      </c>
    </row>
    <row r="7" spans="1:4" x14ac:dyDescent="0.35">
      <c r="A7" s="56" t="s">
        <v>96</v>
      </c>
      <c r="B7" s="68"/>
    </row>
    <row r="8" spans="1:4" ht="15" thickBot="1" x14ac:dyDescent="0.4">
      <c r="A8" s="56" t="s">
        <v>98</v>
      </c>
      <c r="B8" s="71"/>
    </row>
    <row r="9" spans="1:4" ht="15" thickTop="1" x14ac:dyDescent="0.35">
      <c r="A9" s="56" t="s">
        <v>99</v>
      </c>
      <c r="B9" s="69"/>
    </row>
    <row r="10" spans="1:4" ht="15" thickBot="1" x14ac:dyDescent="0.4">
      <c r="A10" s="56" t="s">
        <v>100</v>
      </c>
      <c r="B10" s="71"/>
    </row>
    <row r="11" spans="1:4" ht="15" thickTop="1" x14ac:dyDescent="0.35">
      <c r="A11" s="56" t="s">
        <v>101</v>
      </c>
      <c r="B11" s="69"/>
    </row>
    <row r="12" spans="1:4" ht="15" thickBot="1" x14ac:dyDescent="0.4">
      <c r="A12" s="56" t="s">
        <v>102</v>
      </c>
      <c r="B12" s="71"/>
    </row>
    <row r="13" spans="1:4" ht="15" thickTop="1" x14ac:dyDescent="0.35">
      <c r="A13" s="53" t="s">
        <v>103</v>
      </c>
      <c r="C13" s="70"/>
    </row>
    <row r="14" spans="1:4" x14ac:dyDescent="0.35">
      <c r="A14" s="53" t="s">
        <v>104</v>
      </c>
      <c r="C14" s="68"/>
    </row>
    <row r="15" spans="1:4" ht="15" thickBot="1" x14ac:dyDescent="0.4">
      <c r="A15" s="53" t="s">
        <v>105</v>
      </c>
      <c r="C15" s="71"/>
    </row>
    <row r="16" spans="1:4" ht="15.5" thickTop="1" thickBot="1" x14ac:dyDescent="0.4">
      <c r="A16" s="53" t="s">
        <v>106</v>
      </c>
      <c r="D16" s="71"/>
    </row>
    <row r="17" spans="1:4" ht="15" thickTop="1" x14ac:dyDescent="0.35">
      <c r="A17" s="53" t="s">
        <v>107</v>
      </c>
      <c r="D17" s="69"/>
    </row>
    <row r="18" spans="1:4" ht="15" thickBot="1" x14ac:dyDescent="0.4">
      <c r="A18" s="53" t="s">
        <v>108</v>
      </c>
      <c r="D18" s="71"/>
    </row>
    <row r="19" spans="1:4" ht="15.5" thickTop="1" thickBot="1" x14ac:dyDescent="0.4">
      <c r="A19" s="53" t="s">
        <v>109</v>
      </c>
      <c r="D19" s="72"/>
    </row>
    <row r="20" spans="1:4" ht="15" thickTop="1" x14ac:dyDescent="0.35"/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A32E-2914-4770-BBF1-03CC44B226A5}">
  <dimension ref="A1:C12"/>
  <sheetViews>
    <sheetView zoomScale="196" zoomScaleNormal="196" workbookViewId="0"/>
  </sheetViews>
  <sheetFormatPr defaultRowHeight="14.5" x14ac:dyDescent="0.35"/>
  <cols>
    <col min="1" max="1" width="41.81640625" style="17" bestFit="1" customWidth="1"/>
    <col min="2" max="2" width="11.08984375" style="12" bestFit="1" customWidth="1"/>
    <col min="3" max="16384" width="8.7265625" style="17"/>
  </cols>
  <sheetData>
    <row r="1" spans="1:3" x14ac:dyDescent="0.35">
      <c r="A1" s="58" t="s">
        <v>51</v>
      </c>
      <c r="B1" s="61"/>
    </row>
    <row r="2" spans="1:3" x14ac:dyDescent="0.35">
      <c r="A2" s="62" t="s">
        <v>112</v>
      </c>
      <c r="B2" s="64"/>
    </row>
    <row r="3" spans="1:3" x14ac:dyDescent="0.35">
      <c r="A3" s="65" t="s">
        <v>111</v>
      </c>
      <c r="B3" s="67"/>
    </row>
    <row r="5" spans="1:3" x14ac:dyDescent="0.35">
      <c r="A5" s="17" t="s">
        <v>113</v>
      </c>
      <c r="B5" s="68"/>
    </row>
    <row r="6" spans="1:3" ht="15" thickBot="1" x14ac:dyDescent="0.4">
      <c r="A6" s="53" t="s">
        <v>114</v>
      </c>
      <c r="B6" s="71"/>
    </row>
    <row r="7" spans="1:3" ht="15" thickTop="1" x14ac:dyDescent="0.35">
      <c r="A7" s="53" t="s">
        <v>115</v>
      </c>
      <c r="B7" s="69"/>
    </row>
    <row r="8" spans="1:3" ht="15" thickBot="1" x14ac:dyDescent="0.4">
      <c r="A8" s="53" t="s">
        <v>116</v>
      </c>
      <c r="B8" s="71"/>
    </row>
    <row r="9" spans="1:3" ht="15" thickTop="1" x14ac:dyDescent="0.35">
      <c r="A9" s="53" t="s">
        <v>117</v>
      </c>
      <c r="B9" s="69"/>
      <c r="C9" s="57"/>
    </row>
    <row r="10" spans="1:3" ht="15" thickBot="1" x14ac:dyDescent="0.4">
      <c r="A10" s="17" t="s">
        <v>118</v>
      </c>
      <c r="B10" s="71"/>
    </row>
    <row r="11" spans="1:3" ht="15.5" thickTop="1" thickBot="1" x14ac:dyDescent="0.4">
      <c r="A11" s="17" t="s">
        <v>119</v>
      </c>
      <c r="B11" s="72"/>
    </row>
    <row r="12" spans="1:3" ht="15" thickTop="1" x14ac:dyDescent="0.35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DE09-D191-4C55-A109-A41464ECAA93}">
  <dimension ref="A1:D10"/>
  <sheetViews>
    <sheetView zoomScale="196" zoomScaleNormal="196" workbookViewId="0"/>
  </sheetViews>
  <sheetFormatPr defaultRowHeight="14.5" x14ac:dyDescent="0.35"/>
  <cols>
    <col min="1" max="1" width="16.08984375" style="17" bestFit="1" customWidth="1"/>
    <col min="2" max="3" width="12.6328125" style="17" customWidth="1"/>
    <col min="4" max="4" width="12.6328125" style="12" customWidth="1"/>
    <col min="5" max="16384" width="8.7265625" style="17"/>
  </cols>
  <sheetData>
    <row r="1" spans="1:4" x14ac:dyDescent="0.35">
      <c r="A1" s="58" t="s">
        <v>51</v>
      </c>
      <c r="B1" s="80"/>
      <c r="C1" s="80"/>
      <c r="D1" s="61"/>
    </row>
    <row r="2" spans="1:4" x14ac:dyDescent="0.35">
      <c r="A2" s="62" t="s">
        <v>130</v>
      </c>
      <c r="B2" s="63"/>
      <c r="C2" s="63"/>
      <c r="D2" s="64"/>
    </row>
    <row r="3" spans="1:4" x14ac:dyDescent="0.35">
      <c r="A3" s="65" t="s">
        <v>111</v>
      </c>
      <c r="B3" s="66"/>
      <c r="C3" s="66"/>
      <c r="D3" s="67"/>
    </row>
    <row r="6" spans="1:4" ht="29" x14ac:dyDescent="0.35">
      <c r="B6" s="81" t="s">
        <v>128</v>
      </c>
      <c r="C6" s="82" t="s">
        <v>131</v>
      </c>
      <c r="D6" s="81" t="s">
        <v>129</v>
      </c>
    </row>
    <row r="7" spans="1:4" x14ac:dyDescent="0.35">
      <c r="A7" s="17" t="s">
        <v>125</v>
      </c>
      <c r="B7" s="69"/>
      <c r="C7" s="69"/>
      <c r="D7" s="69"/>
    </row>
    <row r="8" spans="1:4" ht="15" thickBot="1" x14ac:dyDescent="0.4">
      <c r="A8" s="53" t="s">
        <v>126</v>
      </c>
      <c r="B8" s="71"/>
      <c r="C8" s="71"/>
      <c r="D8" s="71"/>
    </row>
    <row r="9" spans="1:4" ht="15.5" thickTop="1" thickBot="1" x14ac:dyDescent="0.4">
      <c r="A9" s="53" t="s">
        <v>127</v>
      </c>
      <c r="B9" s="72"/>
      <c r="C9" s="72"/>
      <c r="D9" s="72"/>
    </row>
    <row r="10" spans="1:4" ht="15" thickTop="1" x14ac:dyDescent="0.3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Instrcutions</vt:lpstr>
      <vt:lpstr>General Journal</vt:lpstr>
      <vt:lpstr>General Ledger</vt:lpstr>
      <vt:lpstr>Applied MOH</vt:lpstr>
      <vt:lpstr>Schedule Cost of Goods Manufac.</vt:lpstr>
      <vt:lpstr>Schedule of Cost of Goods Sold</vt:lpstr>
      <vt:lpstr>Gross Margin</vt:lpstr>
      <vt:lpstr>'General Ledger'!Print_Area</vt:lpstr>
      <vt:lpstr>Instrcutions!Print_Area</vt:lpstr>
    </vt:vector>
  </TitlesOfParts>
  <Company>Metropolitan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Horn</dc:creator>
  <cp:lastModifiedBy>Horn, David K</cp:lastModifiedBy>
  <cp:lastPrinted>2023-09-18T19:04:51Z</cp:lastPrinted>
  <dcterms:created xsi:type="dcterms:W3CDTF">2017-08-28T19:24:45Z</dcterms:created>
  <dcterms:modified xsi:type="dcterms:W3CDTF">2023-09-18T19:05:05Z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05204028-2c23-48f7-9555-0ba7c0e65d02</vt:lpwstr>
  </property>
</Properties>
</file>